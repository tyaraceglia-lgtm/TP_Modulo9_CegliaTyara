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EXCEL\"/>
    </mc:Choice>
  </mc:AlternateContent>
  <xr:revisionPtr revIDLastSave="0" documentId="13_ncr:1_{6BD5AB34-BAEB-498B-B389-39D8531A72D4}" xr6:coauthVersionLast="47" xr6:coauthVersionMax="47" xr10:uidLastSave="{00000000-0000-0000-0000-000000000000}"/>
  <bookViews>
    <workbookView xWindow="-120" yWindow="-120" windowWidth="20730" windowHeight="11310" xr2:uid="{FAA254F9-53F5-4FEC-80E5-7672663F3E72}"/>
  </bookViews>
  <sheets>
    <sheet name="Dashboard Final" sheetId="6" r:id="rId1"/>
    <sheet name="Tablas_Dinamicas" sheetId="7" r:id="rId2"/>
    <sheet name="Datos_Crudos" sheetId="1" r:id="rId3"/>
    <sheet name="Estadistica_Descriptiva" sheetId="3" r:id="rId4"/>
    <sheet name="Resumen_Escenarios" sheetId="4" r:id="rId5"/>
    <sheet name="Resumen del escenario" sheetId="5" r:id="rId6"/>
  </sheets>
  <definedNames>
    <definedName name="Datos_Crudos_TP8" localSheetId="2">Datos_Crudos!#REF!</definedName>
    <definedName name="DatosExternos_1" localSheetId="2" hidden="1">Datos_Crudos!$A$1:$H$33</definedName>
    <definedName name="SegmentaciónDeDatos_Categoria">#N/A</definedName>
    <definedName name="SegmentaciónDeDatos_Region">#N/A</definedName>
    <definedName name="SegmentaciónDeDatos_Vendedor">#N/A</definedName>
  </definedNames>
  <calcPr calcId="181029"/>
  <pivotCaches>
    <pivotCache cacheId="3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_Crudos_TP8_0097583e-8bad-460b-a25d-1dd9eede80ea" name="Datos_Crudos_TP8" connection="Consulta - Datos_Crudos_TP8"/>
        </x15:modelTables>
      </x15:dataModel>
    </ext>
  </extLst>
</workbook>
</file>

<file path=xl/calcChain.xml><?xml version="1.0" encoding="utf-8"?>
<calcChain xmlns="http://schemas.openxmlformats.org/spreadsheetml/2006/main">
  <c r="B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2DE27-E745-441A-88D4-024A6BD16AFB}" name="Consulta - Datos_Crudos_TP8" description="Conexión a la consulta 'Datos_Crudos_TP8' en el libro." type="100" refreshedVersion="7" minRefreshableVersion="5" saveData="1">
    <extLst>
      <ext xmlns:x15="http://schemas.microsoft.com/office/spreadsheetml/2010/11/main" uri="{DE250136-89BD-433C-8126-D09CA5730AF9}">
        <x15:connection id="7951cf36-3eb9-476a-95d3-95ea75477c8d"/>
      </ext>
    </extLst>
  </connection>
  <connection id="2" xr16:uid="{D0DAC979-AB7D-4FC3-90CB-FDE4D9A5E6F4}" keepAlive="1" name="ModelConnection_DatosExternos_1" description="Modelo de datos" type="5" refreshedVersion="7" minRefreshableVersion="5" saveData="1">
    <dbPr connection="Data Model Connection" command="Datos_Crudos_TP8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49D273A-6156-42A4-884A-EA0C0C53B9B6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<sst xmlns="http://schemas.openxmlformats.org/spreadsheetml/2006/main" count="223" uniqueCount="96">
  <si>
    <t>Fecha</t>
  </si>
  <si>
    <t>Region</t>
  </si>
  <si>
    <t>Categoria</t>
  </si>
  <si>
    <t>Producto</t>
  </si>
  <si>
    <t>ID_Cliente</t>
  </si>
  <si>
    <t>Vendedor</t>
  </si>
  <si>
    <t>Monto</t>
  </si>
  <si>
    <t>Costo</t>
  </si>
  <si>
    <t>Sur</t>
  </si>
  <si>
    <t>Aspiradora</t>
  </si>
  <si>
    <t>C020</t>
  </si>
  <si>
    <t>Juan</t>
  </si>
  <si>
    <t>Centro</t>
  </si>
  <si>
    <t>C030</t>
  </si>
  <si>
    <t>Sofia</t>
  </si>
  <si>
    <t>Monitor</t>
  </si>
  <si>
    <t>C003</t>
  </si>
  <si>
    <t>Norte</t>
  </si>
  <si>
    <t>Tecnología</t>
  </si>
  <si>
    <t>C013</t>
  </si>
  <si>
    <t>Ana</t>
  </si>
  <si>
    <t>C023</t>
  </si>
  <si>
    <t>C035</t>
  </si>
  <si>
    <t>Microondas</t>
  </si>
  <si>
    <t>C018</t>
  </si>
  <si>
    <t>C028</t>
  </si>
  <si>
    <t>Tablet</t>
  </si>
  <si>
    <t>C007</t>
  </si>
  <si>
    <t>C015</t>
  </si>
  <si>
    <t>C027</t>
  </si>
  <si>
    <t>Teclado</t>
  </si>
  <si>
    <t>C005</t>
  </si>
  <si>
    <t>Celular</t>
  </si>
  <si>
    <t>C009</t>
  </si>
  <si>
    <t>C025</t>
  </si>
  <si>
    <t>C019</t>
  </si>
  <si>
    <t>C033</t>
  </si>
  <si>
    <t>Notebook</t>
  </si>
  <si>
    <t>C001</t>
  </si>
  <si>
    <t>C021</t>
  </si>
  <si>
    <t>C031</t>
  </si>
  <si>
    <t>C011</t>
  </si>
  <si>
    <t>Licuadora</t>
  </si>
  <si>
    <t>C004</t>
  </si>
  <si>
    <t>C014</t>
  </si>
  <si>
    <t>C024</t>
  </si>
  <si>
    <t>Cafetera</t>
  </si>
  <si>
    <t>C002</t>
  </si>
  <si>
    <t>C032</t>
  </si>
  <si>
    <t>C012</t>
  </si>
  <si>
    <t>C022</t>
  </si>
  <si>
    <t>Silla</t>
  </si>
  <si>
    <t>C006</t>
  </si>
  <si>
    <t>C016</t>
  </si>
  <si>
    <t>C026</t>
  </si>
  <si>
    <t>C034</t>
  </si>
  <si>
    <t>C010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</si>
  <si>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</si>
  <si>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</si>
  <si>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</si>
  <si>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</si>
  <si>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</si>
  <si>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</si>
  <si>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</si>
  <si>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</si>
  <si>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</si>
  <si>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</si>
  <si>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</si>
  <si>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</si>
  <si>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</si>
  <si>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Variable</t>
  </si>
  <si>
    <t>Valor</t>
  </si>
  <si>
    <t>Unidades Vendidas</t>
  </si>
  <si>
    <t>Precio Unitario</t>
  </si>
  <si>
    <t>% Costo Variable</t>
  </si>
  <si>
    <t>Beneficio Neto</t>
  </si>
  <si>
    <t>Base</t>
  </si>
  <si>
    <t>Creado por Usuario el 31/8/2026</t>
  </si>
  <si>
    <t>Pesimista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</si>
  <si>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</si>
  <si>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</si>
  <si>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</si>
  <si>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</si>
  <si>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</si>
  <si>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</si>
  <si>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</si>
  <si>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</si>
  <si>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Hogar</t>
  </si>
  <si>
    <t>SISTEMA DE INTELIGENCIA DE NEGOCIOS — RESUMEN EJECUTIVO</t>
  </si>
  <si>
    <t>Ventas Totales</t>
  </si>
  <si>
    <t>Costos Totales</t>
  </si>
  <si>
    <t>% Margen Neto</t>
  </si>
  <si>
    <t>Suma de Monto</t>
  </si>
  <si>
    <t>Suma de Costo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</si>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</sst>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CCCC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1" fillId="0" borderId="0" xfId="0" applyFont="1"/>
    <xf numFmtId="9" fontId="0" fillId="0" borderId="0" xfId="0" applyNumberFormat="1"/>
    <xf numFmtId="9" fontId="0" fillId="0" borderId="0" xfId="0" applyNumberFormat="1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0" fontId="0" fillId="4" borderId="0" xfId="0" applyFill="1" applyBorder="1" applyAlignment="1"/>
    <xf numFmtId="9" fontId="0" fillId="4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0" fontId="1" fillId="5" borderId="0" xfId="0" applyFont="1" applyFill="1"/>
    <xf numFmtId="0" fontId="8" fillId="5" borderId="4" xfId="0" applyFont="1" applyFill="1" applyBorder="1" applyAlignment="1">
      <alignment horizontal="centerContinuous"/>
    </xf>
    <xf numFmtId="0" fontId="2" fillId="5" borderId="4" xfId="0" applyFont="1" applyFill="1" applyBorder="1" applyAlignment="1">
      <alignment horizontal="centerContinuous"/>
    </xf>
    <xf numFmtId="0" fontId="0" fillId="6" borderId="0" xfId="0" applyFill="1" applyAlignment="1">
      <alignment horizontal="center"/>
    </xf>
    <xf numFmtId="0" fontId="9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6" fontId="0" fillId="7" borderId="0" xfId="0" applyNumberFormat="1" applyFill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0" fontId="0" fillId="7" borderId="6" xfId="0" applyNumberFormat="1" applyFill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/yyyy"/>
    </dxf>
  </dxfs>
  <tableStyles count="0" defaultTableStyle="TableStyleMedium2" defaultPivotStyle="PivotStyleLight16"/>
  <colors>
    <mruColors>
      <color rgb="FFCCCCFF"/>
      <color rgb="FFF2F2F2"/>
      <color rgb="FF1F4E78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/>
              <a:t>Análisis de Dispersión: Relación Costo vs. Ventas</a:t>
            </a:r>
            <a:r>
              <a:rPr lang="es-AR" sz="1400" b="0" i="0" u="none" strike="noStrike" baseline="0"/>
              <a:t>.</a:t>
            </a:r>
            <a:endParaRPr lang="en-US"/>
          </a:p>
        </c:rich>
      </c:tx>
      <c:layout>
        <c:manualLayout>
          <c:xMode val="edge"/>
          <c:yMode val="edge"/>
          <c:x val="0.16073758257416476"/>
          <c:y val="9.196670805168529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280314960629922"/>
          <c:y val="0.17171296296296298"/>
          <c:w val="0.81419685039370082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Datos_Crudos!$H$1</c:f>
              <c:strCache>
                <c:ptCount val="1"/>
                <c:pt idx="0">
                  <c:v>Costo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Datos_Crudos!$G$2:$G$33</c:f>
              <c:numCache>
                <c:formatCode>General</c:formatCode>
                <c:ptCount val="32"/>
                <c:pt idx="0">
                  <c:v>165000</c:v>
                </c:pt>
                <c:pt idx="1">
                  <c:v>175000</c:v>
                </c:pt>
                <c:pt idx="2">
                  <c:v>180000</c:v>
                </c:pt>
                <c:pt idx="3">
                  <c:v>195000</c:v>
                </c:pt>
                <c:pt idx="4">
                  <c:v>205000</c:v>
                </c:pt>
                <c:pt idx="5">
                  <c:v>215000</c:v>
                </c:pt>
                <c:pt idx="6">
                  <c:v>225000</c:v>
                </c:pt>
                <c:pt idx="7">
                  <c:v>235000</c:v>
                </c:pt>
                <c:pt idx="8">
                  <c:v>250000</c:v>
                </c:pt>
                <c:pt idx="9">
                  <c:v>265000</c:v>
                </c:pt>
                <c:pt idx="10">
                  <c:v>280000</c:v>
                </c:pt>
                <c:pt idx="11">
                  <c:v>45000</c:v>
                </c:pt>
                <c:pt idx="12">
                  <c:v>380000</c:v>
                </c:pt>
                <c:pt idx="13">
                  <c:v>395000</c:v>
                </c:pt>
                <c:pt idx="14">
                  <c:v>50000</c:v>
                </c:pt>
                <c:pt idx="15">
                  <c:v>420000</c:v>
                </c:pt>
                <c:pt idx="16">
                  <c:v>450000</c:v>
                </c:pt>
                <c:pt idx="17">
                  <c:v>490000</c:v>
                </c:pt>
                <c:pt idx="18">
                  <c:v>510000</c:v>
                </c:pt>
                <c:pt idx="19">
                  <c:v>520000</c:v>
                </c:pt>
                <c:pt idx="20">
                  <c:v>70000</c:v>
                </c:pt>
                <c:pt idx="21">
                  <c:v>78000</c:v>
                </c:pt>
                <c:pt idx="22">
                  <c:v>82000</c:v>
                </c:pt>
                <c:pt idx="23">
                  <c:v>85000</c:v>
                </c:pt>
                <c:pt idx="24">
                  <c:v>88000</c:v>
                </c:pt>
                <c:pt idx="25">
                  <c:v>90000</c:v>
                </c:pt>
                <c:pt idx="26">
                  <c:v>95000</c:v>
                </c:pt>
                <c:pt idx="27">
                  <c:v>120000</c:v>
                </c:pt>
                <c:pt idx="28">
                  <c:v>135000</c:v>
                </c:pt>
                <c:pt idx="29">
                  <c:v>140000</c:v>
                </c:pt>
                <c:pt idx="30">
                  <c:v>145000</c:v>
                </c:pt>
                <c:pt idx="31">
                  <c:v>155000</c:v>
                </c:pt>
              </c:numCache>
            </c:numRef>
          </c:xVal>
          <c:yVal>
            <c:numRef>
              <c:f>Datos_Crudos!$H$2:$H$33</c:f>
              <c:numCache>
                <c:formatCode>General</c:formatCode>
                <c:ptCount val="32"/>
                <c:pt idx="0">
                  <c:v>100000</c:v>
                </c:pt>
                <c:pt idx="1">
                  <c:v>105000</c:v>
                </c:pt>
                <c:pt idx="2">
                  <c:v>120000</c:v>
                </c:pt>
                <c:pt idx="3">
                  <c:v>130000</c:v>
                </c:pt>
                <c:pt idx="4">
                  <c:v>138000</c:v>
                </c:pt>
                <c:pt idx="5">
                  <c:v>145000</c:v>
                </c:pt>
                <c:pt idx="6">
                  <c:v>150000</c:v>
                </c:pt>
                <c:pt idx="7">
                  <c:v>158000</c:v>
                </c:pt>
                <c:pt idx="8">
                  <c:v>170000</c:v>
                </c:pt>
                <c:pt idx="9">
                  <c:v>180000</c:v>
                </c:pt>
                <c:pt idx="10">
                  <c:v>190000</c:v>
                </c:pt>
                <c:pt idx="11">
                  <c:v>25000</c:v>
                </c:pt>
                <c:pt idx="12">
                  <c:v>270000</c:v>
                </c:pt>
                <c:pt idx="13">
                  <c:v>275000</c:v>
                </c:pt>
                <c:pt idx="14">
                  <c:v>28000</c:v>
                </c:pt>
                <c:pt idx="15">
                  <c:v>295000</c:v>
                </c:pt>
                <c:pt idx="16">
                  <c:v>320000</c:v>
                </c:pt>
                <c:pt idx="17">
                  <c:v>345000</c:v>
                </c:pt>
                <c:pt idx="18">
                  <c:v>360000</c:v>
                </c:pt>
                <c:pt idx="19">
                  <c:v>370000</c:v>
                </c:pt>
                <c:pt idx="20">
                  <c:v>42000</c:v>
                </c:pt>
                <c:pt idx="21">
                  <c:v>46000</c:v>
                </c:pt>
                <c:pt idx="22">
                  <c:v>49000</c:v>
                </c:pt>
                <c:pt idx="23">
                  <c:v>50000</c:v>
                </c:pt>
                <c:pt idx="24">
                  <c:v>52000</c:v>
                </c:pt>
                <c:pt idx="25">
                  <c:v>54000</c:v>
                </c:pt>
                <c:pt idx="26">
                  <c:v>57000</c:v>
                </c:pt>
                <c:pt idx="27">
                  <c:v>75000</c:v>
                </c:pt>
                <c:pt idx="28">
                  <c:v>82000</c:v>
                </c:pt>
                <c:pt idx="29">
                  <c:v>85000</c:v>
                </c:pt>
                <c:pt idx="30">
                  <c:v>88000</c:v>
                </c:pt>
                <c:pt idx="31">
                  <c:v>95000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E-45E5-B1F9-E0CFCC1A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884768"/>
        <c:axId val="716878864"/>
      </c:scatterChart>
      <c:valAx>
        <c:axId val="7168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6878864"/>
        <c:crosses val="autoZero"/>
        <c:crossBetween val="midCat"/>
      </c:valAx>
      <c:valAx>
        <c:axId val="7168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688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6</xdr:row>
      <xdr:rowOff>161925</xdr:rowOff>
    </xdr:from>
    <xdr:to>
      <xdr:col>2</xdr:col>
      <xdr:colOff>400050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33D8E3A8-1F29-41DF-8417-98547F4CE1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284514"/>
              <a:ext cx="1835604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57150</xdr:colOff>
      <xdr:row>6</xdr:row>
      <xdr:rowOff>161925</xdr:rowOff>
    </xdr:from>
    <xdr:to>
      <xdr:col>8</xdr:col>
      <xdr:colOff>361950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749B4616-F1E7-4062-9327-34CED3C807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9561" y="1284514"/>
              <a:ext cx="1835603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133349</xdr:colOff>
      <xdr:row>22</xdr:row>
      <xdr:rowOff>85724</xdr:rowOff>
    </xdr:from>
    <xdr:to>
      <xdr:col>15</xdr:col>
      <xdr:colOff>123824</xdr:colOff>
      <xdr:row>30</xdr:row>
      <xdr:rowOff>19049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EDBB925-A75A-4C41-88D6-694B04DE4574}"/>
            </a:ext>
          </a:extLst>
        </xdr:cNvPr>
        <xdr:cNvSpPr txBox="1"/>
      </xdr:nvSpPr>
      <xdr:spPr>
        <a:xfrm>
          <a:off x="2419349" y="4276724"/>
          <a:ext cx="9134475" cy="1457325"/>
        </a:xfrm>
        <a:prstGeom prst="rect">
          <a:avLst/>
        </a:prstGeom>
        <a:solidFill>
          <a:srgbClr val="CC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400" b="1" i="0">
              <a:latin typeface="+mn-lt"/>
            </a:rPr>
            <a:t>NOTAS EJECUTIVAS Y HALLAZGOS CLAVE</a:t>
          </a:r>
        </a:p>
        <a:p>
          <a:pPr algn="l"/>
          <a:r>
            <a:rPr lang="es-AR" sz="1400" b="1" i="1">
              <a:latin typeface="+mn-lt"/>
            </a:rPr>
            <a:t>Concentración Regional: </a:t>
          </a:r>
          <a:r>
            <a:rPr lang="es-AR" sz="1400" b="0" i="1">
              <a:latin typeface="+mn-lt"/>
            </a:rPr>
            <a:t>Las regiones Centro y Norte explican el 78% de los ingresos totales.</a:t>
          </a:r>
        </a:p>
        <a:p>
          <a:pPr algn="l"/>
          <a:r>
            <a:rPr lang="es-AR" sz="1400" b="1" i="1">
              <a:latin typeface="+mn-lt"/>
            </a:rPr>
            <a:t>Rentabilidad:</a:t>
          </a:r>
          <a:r>
            <a:rPr lang="es-AR" sz="1400" b="0" i="1">
              <a:latin typeface="+mn-lt"/>
            </a:rPr>
            <a:t> La categoría Tecnología genera el mayor margen bruto, mientras que Hogar mantiene costos operativos más estables.</a:t>
          </a:r>
        </a:p>
        <a:p>
          <a:pPr algn="l"/>
          <a:r>
            <a:rPr lang="es-AR" sz="1400" b="1" i="1">
              <a:latin typeface="+mn-lt"/>
            </a:rPr>
            <a:t>Oportunidad en Sur: </a:t>
          </a:r>
          <a:r>
            <a:rPr lang="es-AR" sz="1400" b="0" i="1">
              <a:latin typeface="+mn-lt"/>
            </a:rPr>
            <a:t>La región Sur presenta menor volumen, pero sostiene una conversión de margen eficiente. Se sugiere evaluar la asignación de la fuerza de ventas.</a:t>
          </a:r>
        </a:p>
        <a:p>
          <a:endParaRPr lang="es-AR" sz="1100"/>
        </a:p>
      </xdr:txBody>
    </xdr:sp>
    <xdr:clientData/>
  </xdr:twoCellAnchor>
  <xdr:twoCellAnchor editAs="oneCell">
    <xdr:from>
      <xdr:col>3</xdr:col>
      <xdr:colOff>0</xdr:colOff>
      <xdr:row>7</xdr:row>
      <xdr:rowOff>0</xdr:rowOff>
    </xdr:from>
    <xdr:to>
      <xdr:col>5</xdr:col>
      <xdr:colOff>295507</xdr:colOff>
      <xdr:row>20</xdr:row>
      <xdr:rowOff>108028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Categoria">
              <a:extLst>
                <a:ext uri="{FF2B5EF4-FFF2-40B4-BE49-F238E27FC236}">
                  <a16:creationId xmlns:a16="http://schemas.microsoft.com/office/drawing/2014/main" id="{82025E0C-BD55-4604-8658-B6733A90DB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6205" y="1309688"/>
              <a:ext cx="1826311" cy="25403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615640</xdr:colOff>
      <xdr:row>6</xdr:row>
      <xdr:rowOff>139391</xdr:rowOff>
    </xdr:from>
    <xdr:to>
      <xdr:col>14</xdr:col>
      <xdr:colOff>587762</xdr:colOff>
      <xdr:row>21</xdr:row>
      <xdr:rowOff>94786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FF708FC-7D25-42CA-9818-EF0E6DAC7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66.534931712966" missingItemsLimit="0" createdVersion="7" refreshedVersion="7" minRefreshableVersion="3" recordCount="33" xr:uid="{7513B6E7-EB67-4ED7-A404-79358254E35B}">
  <cacheSource type="worksheet">
    <worksheetSource ref="A1:H1048576" sheet="Datos_Crudos"/>
  </cacheSource>
  <cacheFields count="8">
    <cacheField name="Fecha" numFmtId="0">
      <sharedItems containsNonDate="0" containsDate="1" containsString="0" containsBlank="1" minDate="2026-01-05T00:00:00" maxDate="2026-06-10T00:00:00"/>
    </cacheField>
    <cacheField name="Region" numFmtId="0">
      <sharedItems containsBlank="1" count="4">
        <s v="Sur"/>
        <s v="Centro"/>
        <s v="Norte"/>
        <m/>
      </sharedItems>
    </cacheField>
    <cacheField name="Categoria" numFmtId="0">
      <sharedItems containsBlank="1" count="3">
        <s v="Hogar"/>
        <s v="Tecnología"/>
        <m/>
      </sharedItems>
    </cacheField>
    <cacheField name="Producto" numFmtId="0">
      <sharedItems containsBlank="1"/>
    </cacheField>
    <cacheField name="ID_Cliente" numFmtId="0">
      <sharedItems containsBlank="1"/>
    </cacheField>
    <cacheField name="Vendedor" numFmtId="0">
      <sharedItems containsBlank="1" count="4">
        <s v="Juan"/>
        <s v="Sofia"/>
        <s v="Ana"/>
        <m/>
      </sharedItems>
    </cacheField>
    <cacheField name="Monto" numFmtId="0">
      <sharedItems containsString="0" containsBlank="1" containsNumber="1" containsInteger="1" minValue="45000" maxValue="520000"/>
    </cacheField>
    <cacheField name="Costo" numFmtId="0">
      <sharedItems containsString="0" containsBlank="1" containsNumber="1" containsInteger="1" minValue="25000" maxValue="370000"/>
    </cacheField>
  </cacheFields>
  <extLst>
    <ext xmlns:x14="http://schemas.microsoft.com/office/spreadsheetml/2009/9/main" uri="{725AE2AE-9491-48be-B2B4-4EB974FC3084}">
      <x14:pivotCacheDefinition pivotCacheId="696082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6-03-26T00:00:00"/>
    <x v="0"/>
    <x v="0"/>
    <s v="Aspiradora"/>
    <s v="C020"/>
    <x v="0"/>
    <n v="165000"/>
    <n v="100000"/>
  </r>
  <r>
    <d v="2026-05-15T00:00:00"/>
    <x v="1"/>
    <x v="0"/>
    <s v="Aspiradora"/>
    <s v="C030"/>
    <x v="1"/>
    <n v="175000"/>
    <n v="105000"/>
  </r>
  <r>
    <d v="2026-01-12T00:00:00"/>
    <x v="1"/>
    <x v="1"/>
    <s v="Monitor"/>
    <s v="C003"/>
    <x v="1"/>
    <n v="180000"/>
    <n v="120000"/>
  </r>
  <r>
    <d v="2026-02-23T00:00:00"/>
    <x v="2"/>
    <x v="1"/>
    <s v="Monitor"/>
    <s v="C013"/>
    <x v="2"/>
    <n v="195000"/>
    <n v="130000"/>
  </r>
  <r>
    <d v="2026-04-11T00:00:00"/>
    <x v="0"/>
    <x v="1"/>
    <s v="Monitor"/>
    <s v="C023"/>
    <x v="0"/>
    <n v="205000"/>
    <n v="138000"/>
  </r>
  <r>
    <d v="2026-06-09T00:00:00"/>
    <x v="0"/>
    <x v="1"/>
    <s v="Monitor"/>
    <s v="C035"/>
    <x v="0"/>
    <n v="215000"/>
    <n v="145000"/>
  </r>
  <r>
    <d v="2026-03-17T00:00:00"/>
    <x v="1"/>
    <x v="0"/>
    <s v="Microondas"/>
    <s v="C018"/>
    <x v="1"/>
    <n v="225000"/>
    <n v="150000"/>
  </r>
  <r>
    <d v="2026-05-05T00:00:00"/>
    <x v="2"/>
    <x v="0"/>
    <s v="Microondas"/>
    <s v="C028"/>
    <x v="2"/>
    <n v="235000"/>
    <n v="158000"/>
  </r>
  <r>
    <d v="2026-01-27T00:00:00"/>
    <x v="2"/>
    <x v="1"/>
    <s v="Tablet"/>
    <s v="C007"/>
    <x v="2"/>
    <n v="250000"/>
    <n v="170000"/>
  </r>
  <r>
    <d v="2026-03-04T00:00:00"/>
    <x v="1"/>
    <x v="1"/>
    <s v="Tablet"/>
    <s v="C015"/>
    <x v="1"/>
    <n v="265000"/>
    <n v="180000"/>
  </r>
  <r>
    <d v="2026-04-30T00:00:00"/>
    <x v="1"/>
    <x v="1"/>
    <s v="Tablet"/>
    <s v="C027"/>
    <x v="1"/>
    <n v="280000"/>
    <n v="190000"/>
  </r>
  <r>
    <d v="2026-01-19T00:00:00"/>
    <x v="0"/>
    <x v="1"/>
    <s v="Teclado"/>
    <s v="C005"/>
    <x v="0"/>
    <n v="45000"/>
    <n v="25000"/>
  </r>
  <r>
    <d v="2026-02-06T00:00:00"/>
    <x v="1"/>
    <x v="1"/>
    <s v="Celular"/>
    <s v="C009"/>
    <x v="1"/>
    <n v="380000"/>
    <n v="270000"/>
  </r>
  <r>
    <d v="2026-04-20T00:00:00"/>
    <x v="2"/>
    <x v="1"/>
    <s v="Celular"/>
    <s v="C025"/>
    <x v="2"/>
    <n v="395000"/>
    <n v="275000"/>
  </r>
  <r>
    <d v="2026-03-21T00:00:00"/>
    <x v="2"/>
    <x v="1"/>
    <s v="Teclado"/>
    <s v="C019"/>
    <x v="2"/>
    <n v="50000"/>
    <n v="28000"/>
  </r>
  <r>
    <d v="2026-05-30T00:00:00"/>
    <x v="1"/>
    <x v="1"/>
    <s v="Celular"/>
    <s v="C033"/>
    <x v="1"/>
    <n v="420000"/>
    <n v="295000"/>
  </r>
  <r>
    <d v="2026-01-05T00:00:00"/>
    <x v="2"/>
    <x v="1"/>
    <s v="Notebook"/>
    <s v="C001"/>
    <x v="2"/>
    <n v="450000"/>
    <n v="320000"/>
  </r>
  <r>
    <d v="2026-04-02T00:00:00"/>
    <x v="1"/>
    <x v="1"/>
    <s v="Notebook"/>
    <s v="C021"/>
    <x v="1"/>
    <n v="490000"/>
    <n v="345000"/>
  </r>
  <r>
    <d v="2026-05-20T00:00:00"/>
    <x v="2"/>
    <x v="1"/>
    <s v="Notebook"/>
    <s v="C031"/>
    <x v="2"/>
    <n v="510000"/>
    <n v="360000"/>
  </r>
  <r>
    <d v="2026-02-14T00:00:00"/>
    <x v="0"/>
    <x v="1"/>
    <s v="Notebook"/>
    <s v="C011"/>
    <x v="0"/>
    <n v="520000"/>
    <n v="370000"/>
  </r>
  <r>
    <d v="2026-01-15T00:00:00"/>
    <x v="2"/>
    <x v="0"/>
    <s v="Licuadora"/>
    <s v="C004"/>
    <x v="2"/>
    <n v="70000"/>
    <n v="42000"/>
  </r>
  <r>
    <d v="2026-02-28T00:00:00"/>
    <x v="0"/>
    <x v="0"/>
    <s v="Licuadora"/>
    <s v="C014"/>
    <x v="0"/>
    <n v="78000"/>
    <n v="46000"/>
  </r>
  <r>
    <d v="2026-04-16T00:00:00"/>
    <x v="1"/>
    <x v="0"/>
    <s v="Licuadora"/>
    <s v="C024"/>
    <x v="1"/>
    <n v="82000"/>
    <n v="49000"/>
  </r>
  <r>
    <d v="2026-01-08T00:00:00"/>
    <x v="0"/>
    <x v="0"/>
    <s v="Cafetera"/>
    <s v="C002"/>
    <x v="0"/>
    <n v="85000"/>
    <n v="50000"/>
  </r>
  <r>
    <d v="2026-05-25T00:00:00"/>
    <x v="0"/>
    <x v="0"/>
    <s v="Cafetera"/>
    <s v="C032"/>
    <x v="0"/>
    <n v="88000"/>
    <n v="52000"/>
  </r>
  <r>
    <d v="2026-02-18T00:00:00"/>
    <x v="1"/>
    <x v="0"/>
    <s v="Cafetera"/>
    <s v="C012"/>
    <x v="1"/>
    <n v="90000"/>
    <n v="54000"/>
  </r>
  <r>
    <d v="2026-04-07T00:00:00"/>
    <x v="2"/>
    <x v="0"/>
    <s v="Cafetera"/>
    <s v="C022"/>
    <x v="2"/>
    <n v="95000"/>
    <n v="57000"/>
  </r>
  <r>
    <d v="2026-01-22T00:00:00"/>
    <x v="1"/>
    <x v="0"/>
    <s v="Silla"/>
    <s v="C006"/>
    <x v="1"/>
    <n v="120000"/>
    <n v="75000"/>
  </r>
  <r>
    <d v="2026-03-09T00:00:00"/>
    <x v="2"/>
    <x v="0"/>
    <s v="Silla"/>
    <s v="C016"/>
    <x v="2"/>
    <n v="135000"/>
    <n v="82000"/>
  </r>
  <r>
    <d v="2026-04-25T00:00:00"/>
    <x v="0"/>
    <x v="0"/>
    <s v="Silla"/>
    <s v="C026"/>
    <x v="0"/>
    <n v="140000"/>
    <n v="85000"/>
  </r>
  <r>
    <d v="2026-06-04T00:00:00"/>
    <x v="2"/>
    <x v="0"/>
    <s v="Silla"/>
    <s v="C034"/>
    <x v="2"/>
    <n v="145000"/>
    <n v="88000"/>
  </r>
  <r>
    <d v="2026-02-10T00:00:00"/>
    <x v="2"/>
    <x v="0"/>
    <s v="Aspiradora"/>
    <s v="C010"/>
    <x v="2"/>
    <n v="155000"/>
    <n v="95000"/>
  </r>
  <r>
    <m/>
    <x v="3"/>
    <x v="2"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9A9F8-FF43-413D-AA03-5276FDE337D0}" name="TablaDinámica5" cacheId="3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H3:J6" firstHeaderRow="0" firstDataRow="1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" fld="6" baseField="0" baseItem="0"/>
    <dataField name="Suma de Cost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B9D7D-488E-4C51-9B14-2B0BE68BDA43}" name="TablaDinámica4" cacheId="3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:F6" firstHeaderRow="0" firstDataRow="1" firstDataCol="1"/>
  <pivotFields count="8"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onto" fld="6" baseField="0" baseItem="0"/>
    <dataField name="Suma de Cost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B683D-A726-4478-995A-18C4947C7FFB}" name="TablaDinámica1" cacheId="3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4" firstHeaderRow="0" firstDataRow="1" firstDataCol="0"/>
  <pivotFields count="8"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a de Monto" fld="6" baseField="0" baseItem="0"/>
    <dataField name="Suma de Cost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DAF36F4C-368F-46C8-B9E0-EC0665CD1134}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Region" tableColumnId="2"/>
      <queryTableField id="3" name="Categoria" tableColumnId="3"/>
      <queryTableField id="4" name="Producto" tableColumnId="4"/>
      <queryTableField id="5" name="ID_Cliente" tableColumnId="5"/>
      <queryTableField id="6" name="Vendedor" tableColumnId="6"/>
      <queryTableField id="7" name="Monto" tableColumnId="7"/>
      <queryTableField id="8" name="Costo" tableColumnId="8"/>
    </queryTableFields>
  </queryTableRefresh>
  <extLst>
    <ext xmlns:x15="http://schemas.microsoft.com/office/spreadsheetml/2010/11/main" uri="{883FBD77-0823-4a55-B5E3-86C4891E6966}">
      <x15:queryTable sourceDataName="Consulta - Datos_Crudos_TP8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CED0A15B-8E6E-4238-9025-5CDA2A925E9E}" sourceName="Region">
  <pivotTables>
    <pivotTable tabId="7" name="TablaDinámica1"/>
    <pivotTable tabId="7" name="TablaDinámica4"/>
    <pivotTable tabId="7" name="TablaDinámica5"/>
  </pivotTables>
  <data>
    <tabular pivotCacheId="696082950">
      <items count="4">
        <i x="1" s="1"/>
        <i x="2" s="1"/>
        <i x="0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166113A6-650D-40B2-9F52-363BB2132D25}" sourceName="Vendedor">
  <pivotTables>
    <pivotTable tabId="7" name="TablaDinámica1"/>
    <pivotTable tabId="7" name="TablaDinámica4"/>
    <pivotTable tabId="7" name="TablaDinámica5"/>
  </pivotTables>
  <data>
    <tabular pivotCacheId="696082950">
      <items count="4">
        <i x="2" s="1"/>
        <i x="0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0700E8D5-6B8B-4475-ADF7-CF1A0090CF5F}" sourceName="Categoria">
  <pivotTables>
    <pivotTable tabId="7" name="TablaDinámica4"/>
    <pivotTable tabId="7" name="TablaDinámica1"/>
    <pivotTable tabId="7" name="TablaDinámica5"/>
  </pivotTables>
  <data>
    <tabular pivotCacheId="696082950">
      <items count="3">
        <i x="0" s="1"/>
        <i x="1" s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AB79E58-AA38-40FC-B76D-551D4A9DC74B}" cache="SegmentaciónDeDatos_Region" caption="Region" rowHeight="241300"/>
  <slicer name="Vendedor" xr10:uid="{09FFF19D-A28D-472A-AC04-F838E987239A}" cache="SegmentaciónDeDatos_Vendedor" caption="Vendedor" rowHeight="241300"/>
  <slicer name="Categoria" xr10:uid="{5BF9B891-8258-4533-9516-D3F0FFF04B89}" cache="SegmentaciónDeDatos_Categoria" caption="Categoria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55B53-FBCD-4BF3-96FA-EA4346DB1F89}" name="Datos_Crudos_TP8" displayName="Datos_Crudos_TP8_1" ref="A1:H33" tableType="queryTable" totalsRowShown="0">
  <tableColumns count="8">
    <tableColumn id="1" xr3:uid="{4F212356-B618-49EE-9E19-BD433ACED4F9}" uniqueName="1" name="Fecha" queryTableFieldId="1" dataDxfId="2"/>
    <tableColumn id="2" xr3:uid="{F230B052-C570-4370-885A-D1A697C95B8F}" uniqueName="2" name="Region" queryTableFieldId="2"/>
    <tableColumn id="3" xr3:uid="{6DFD5E31-18D3-4539-99BB-D1CB42A446AD}" uniqueName="3" name="Categoria" queryTableFieldId="3"/>
    <tableColumn id="4" xr3:uid="{CBED1CAD-6357-462D-8871-A42586478BAB}" uniqueName="4" name="Producto" queryTableFieldId="4"/>
    <tableColumn id="5" xr3:uid="{DCE651E3-FB0B-44AA-88AA-C644C64AA78A}" uniqueName="5" name="ID_Cliente" queryTableFieldId="5"/>
    <tableColumn id="6" xr3:uid="{58BC6B35-AC81-4AF5-914A-9EAE73514AF2}" uniqueName="6" name="Vendedor" queryTableFieldId="6"/>
    <tableColumn id="7" xr3:uid="{B931364F-FAC6-41E2-A8D5-589FB11FD027}" uniqueName="7" name="Monto" queryTableFieldId="7"/>
    <tableColumn id="8" xr3:uid="{6EABEF61-A4EB-4468-BC6E-3430FDAB6617}" uniqueName="8" name="Costo" queryTableFieldId="8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A00D-8FB0-46CB-B14F-EAF2D0B9AEFD}">
  <dimension ref="A1:AB5"/>
  <sheetViews>
    <sheetView showGridLines="0" tabSelected="1" topLeftCell="A10" zoomScale="112" zoomScaleNormal="112" workbookViewId="0">
      <selection activeCell="I32" sqref="I32"/>
    </sheetView>
  </sheetViews>
  <sheetFormatPr baseColWidth="10" defaultRowHeight="15" x14ac:dyDescent="0.25"/>
  <sheetData>
    <row r="1" spans="1:28" x14ac:dyDescent="0.25">
      <c r="A1" s="22" t="s">
        <v>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4" spans="1:28" x14ac:dyDescent="0.25">
      <c r="A4" s="25" t="s">
        <v>89</v>
      </c>
      <c r="B4" s="26"/>
      <c r="C4" s="26"/>
      <c r="D4" s="25" t="s">
        <v>90</v>
      </c>
      <c r="E4" s="26"/>
      <c r="F4" s="26"/>
      <c r="G4" s="25" t="s">
        <v>75</v>
      </c>
      <c r="H4" s="26"/>
      <c r="I4" s="26"/>
      <c r="J4" s="25" t="s">
        <v>91</v>
      </c>
      <c r="K4" s="26"/>
      <c r="L4" s="26"/>
    </row>
    <row r="5" spans="1:28" x14ac:dyDescent="0.25">
      <c r="A5" s="24">
        <v>6933000</v>
      </c>
      <c r="B5" s="23"/>
      <c r="C5" s="23"/>
      <c r="D5" s="24">
        <v>4649000</v>
      </c>
      <c r="E5" s="23"/>
      <c r="F5" s="23"/>
      <c r="G5" s="24">
        <v>2284000</v>
      </c>
      <c r="H5" s="23"/>
      <c r="I5" s="23"/>
      <c r="J5" s="28">
        <v>0.32950000000000002</v>
      </c>
      <c r="K5" s="27"/>
      <c r="L5" s="27"/>
    </row>
  </sheetData>
  <mergeCells count="10">
    <mergeCell ref="J4:L4"/>
    <mergeCell ref="J5:L5"/>
    <mergeCell ref="A4:C4"/>
    <mergeCell ref="A5:C5"/>
    <mergeCell ref="D4:F4"/>
    <mergeCell ref="D5:F5"/>
    <mergeCell ref="G4:I4"/>
    <mergeCell ref="G5:I5"/>
    <mergeCell ref="A1:N2"/>
    <mergeCell ref="O1:AB2"/>
  </mergeCells>
  <conditionalFormatting sqref="J4:L4">
    <cfRule type="cellIs" dxfId="0" priority="2" operator="greaterThan">
      <formula>"mayor o igual a 30% → favorable"</formula>
    </cfRule>
    <cfRule type="cellIs" dxfId="1" priority="1" operator="lessThan">
      <formula>"menor a 30% → desfavorable"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E133-E884-482F-8BCE-A8B8E2B6584E}">
  <dimension ref="A3:K6"/>
  <sheetViews>
    <sheetView workbookViewId="0">
      <selection activeCell="H12" sqref="H12"/>
    </sheetView>
  </sheetViews>
  <sheetFormatPr baseColWidth="10" defaultRowHeight="15" x14ac:dyDescent="0.25"/>
  <cols>
    <col min="1" max="1" width="15" bestFit="1" customWidth="1"/>
    <col min="2" max="2" width="14" bestFit="1" customWidth="1"/>
    <col min="4" max="4" width="17.5703125" bestFit="1" customWidth="1"/>
    <col min="5" max="5" width="15" bestFit="1" customWidth="1"/>
    <col min="6" max="6" width="14" bestFit="1" customWidth="1"/>
    <col min="8" max="8" width="17.5703125" bestFit="1" customWidth="1"/>
    <col min="9" max="9" width="15" bestFit="1" customWidth="1"/>
    <col min="10" max="10" width="14" bestFit="1" customWidth="1"/>
    <col min="11" max="11" width="34.140625" customWidth="1"/>
  </cols>
  <sheetData>
    <row r="3" spans="1:11" x14ac:dyDescent="0.25">
      <c r="A3" t="s">
        <v>92</v>
      </c>
      <c r="B3" t="s">
        <v>93</v>
      </c>
      <c r="D3" s="30" t="s">
        <v>94</v>
      </c>
      <c r="E3" t="s">
        <v>92</v>
      </c>
      <c r="F3" t="s">
        <v>93</v>
      </c>
      <c r="H3" s="30" t="s">
        <v>94</v>
      </c>
      <c r="I3" t="s">
        <v>92</v>
      </c>
      <c r="J3" t="s">
        <v>93</v>
      </c>
      <c r="K3" s="5"/>
    </row>
    <row r="4" spans="1:11" x14ac:dyDescent="0.25">
      <c r="A4" s="29">
        <v>6933000</v>
      </c>
      <c r="B4" s="29">
        <v>4649000</v>
      </c>
      <c r="D4" s="31" t="s">
        <v>87</v>
      </c>
      <c r="E4" s="29">
        <v>2083000</v>
      </c>
      <c r="F4" s="29">
        <v>1288000</v>
      </c>
      <c r="H4" s="31" t="s">
        <v>87</v>
      </c>
      <c r="I4" s="29">
        <v>2083000</v>
      </c>
      <c r="J4" s="29">
        <v>1288000</v>
      </c>
    </row>
    <row r="5" spans="1:11" x14ac:dyDescent="0.25">
      <c r="D5" s="31" t="s">
        <v>18</v>
      </c>
      <c r="E5" s="29">
        <v>4850000</v>
      </c>
      <c r="F5" s="29">
        <v>3361000</v>
      </c>
      <c r="H5" s="31" t="s">
        <v>18</v>
      </c>
      <c r="I5" s="29">
        <v>4850000</v>
      </c>
      <c r="J5" s="29">
        <v>3361000</v>
      </c>
    </row>
    <row r="6" spans="1:11" x14ac:dyDescent="0.25">
      <c r="D6" s="31" t="s">
        <v>95</v>
      </c>
      <c r="E6" s="29">
        <v>6933000</v>
      </c>
      <c r="F6" s="29">
        <v>4649000</v>
      </c>
      <c r="H6" s="31" t="s">
        <v>95</v>
      </c>
      <c r="I6" s="29">
        <v>6933000</v>
      </c>
      <c r="J6" s="29">
        <v>4649000</v>
      </c>
    </row>
  </sheetData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AA5D-1E6E-4095-9B14-F4FFB06FC9FC}">
  <dimension ref="A1:H33"/>
  <sheetViews>
    <sheetView workbookViewId="0">
      <selection activeCell="I18" sqref="I18"/>
    </sheetView>
  </sheetViews>
  <sheetFormatPr baseColWidth="10" defaultRowHeight="15" x14ac:dyDescent="0.25"/>
  <cols>
    <col min="1" max="1" width="9.7109375" bestFit="1" customWidth="1"/>
    <col min="2" max="2" width="9.42578125" bestFit="1" customWidth="1"/>
    <col min="3" max="3" width="11.7109375" bestFit="1" customWidth="1"/>
    <col min="4" max="4" width="11.28515625" bestFit="1" customWidth="1"/>
    <col min="5" max="5" width="12.5703125" bestFit="1" customWidth="1"/>
    <col min="6" max="6" width="12.140625" bestFit="1" customWidth="1"/>
    <col min="7" max="7" width="9.28515625" bestFit="1" customWidth="1"/>
    <col min="8" max="8" width="8.28515625" bestFit="1" customWidth="1"/>
  </cols>
  <sheetData>
    <row r="1" spans="1:8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46107</v>
      </c>
      <c r="B2" t="s">
        <v>8</v>
      </c>
      <c r="C2" t="s">
        <v>87</v>
      </c>
      <c r="D2" t="s">
        <v>9</v>
      </c>
      <c r="E2" t="s">
        <v>10</v>
      </c>
      <c r="F2" t="s">
        <v>11</v>
      </c>
      <c r="G2">
        <v>165000</v>
      </c>
      <c r="H2">
        <v>100000</v>
      </c>
    </row>
    <row r="3" spans="1:8" x14ac:dyDescent="0.25">
      <c r="A3" s="1">
        <v>46157</v>
      </c>
      <c r="B3" t="s">
        <v>12</v>
      </c>
      <c r="C3" t="s">
        <v>87</v>
      </c>
      <c r="D3" t="s">
        <v>9</v>
      </c>
      <c r="E3" t="s">
        <v>13</v>
      </c>
      <c r="F3" t="s">
        <v>14</v>
      </c>
      <c r="G3">
        <v>175000</v>
      </c>
      <c r="H3">
        <v>105000</v>
      </c>
    </row>
    <row r="4" spans="1:8" x14ac:dyDescent="0.25">
      <c r="A4" s="1">
        <v>46034</v>
      </c>
      <c r="B4" t="s">
        <v>12</v>
      </c>
      <c r="C4" t="s">
        <v>18</v>
      </c>
      <c r="D4" t="s">
        <v>15</v>
      </c>
      <c r="E4" t="s">
        <v>16</v>
      </c>
      <c r="F4" t="s">
        <v>14</v>
      </c>
      <c r="G4">
        <v>180000</v>
      </c>
      <c r="H4">
        <v>120000</v>
      </c>
    </row>
    <row r="5" spans="1:8" x14ac:dyDescent="0.25">
      <c r="A5" s="1">
        <v>46076</v>
      </c>
      <c r="B5" t="s">
        <v>17</v>
      </c>
      <c r="C5" t="s">
        <v>18</v>
      </c>
      <c r="D5" t="s">
        <v>15</v>
      </c>
      <c r="E5" t="s">
        <v>19</v>
      </c>
      <c r="F5" t="s">
        <v>20</v>
      </c>
      <c r="G5">
        <v>195000</v>
      </c>
      <c r="H5">
        <v>130000</v>
      </c>
    </row>
    <row r="6" spans="1:8" x14ac:dyDescent="0.25">
      <c r="A6" s="1">
        <v>46123</v>
      </c>
      <c r="B6" t="s">
        <v>8</v>
      </c>
      <c r="C6" t="s">
        <v>18</v>
      </c>
      <c r="D6" t="s">
        <v>15</v>
      </c>
      <c r="E6" t="s">
        <v>21</v>
      </c>
      <c r="F6" t="s">
        <v>11</v>
      </c>
      <c r="G6">
        <v>205000</v>
      </c>
      <c r="H6">
        <v>138000</v>
      </c>
    </row>
    <row r="7" spans="1:8" x14ac:dyDescent="0.25">
      <c r="A7" s="1">
        <v>46182</v>
      </c>
      <c r="B7" t="s">
        <v>8</v>
      </c>
      <c r="C7" t="s">
        <v>18</v>
      </c>
      <c r="D7" t="s">
        <v>15</v>
      </c>
      <c r="E7" t="s">
        <v>22</v>
      </c>
      <c r="F7" t="s">
        <v>11</v>
      </c>
      <c r="G7">
        <v>215000</v>
      </c>
      <c r="H7">
        <v>145000</v>
      </c>
    </row>
    <row r="8" spans="1:8" x14ac:dyDescent="0.25">
      <c r="A8" s="1">
        <v>46098</v>
      </c>
      <c r="B8" t="s">
        <v>12</v>
      </c>
      <c r="C8" t="s">
        <v>87</v>
      </c>
      <c r="D8" t="s">
        <v>23</v>
      </c>
      <c r="E8" t="s">
        <v>24</v>
      </c>
      <c r="F8" t="s">
        <v>14</v>
      </c>
      <c r="G8">
        <v>225000</v>
      </c>
      <c r="H8">
        <v>150000</v>
      </c>
    </row>
    <row r="9" spans="1:8" x14ac:dyDescent="0.25">
      <c r="A9" s="1">
        <v>46147</v>
      </c>
      <c r="B9" t="s">
        <v>17</v>
      </c>
      <c r="C9" t="s">
        <v>87</v>
      </c>
      <c r="D9" t="s">
        <v>23</v>
      </c>
      <c r="E9" t="s">
        <v>25</v>
      </c>
      <c r="F9" t="s">
        <v>20</v>
      </c>
      <c r="G9">
        <v>235000</v>
      </c>
      <c r="H9">
        <v>158000</v>
      </c>
    </row>
    <row r="10" spans="1:8" x14ac:dyDescent="0.25">
      <c r="A10" s="1">
        <v>46049</v>
      </c>
      <c r="B10" t="s">
        <v>17</v>
      </c>
      <c r="C10" t="s">
        <v>18</v>
      </c>
      <c r="D10" t="s">
        <v>26</v>
      </c>
      <c r="E10" t="s">
        <v>27</v>
      </c>
      <c r="F10" t="s">
        <v>20</v>
      </c>
      <c r="G10">
        <v>250000</v>
      </c>
      <c r="H10">
        <v>170000</v>
      </c>
    </row>
    <row r="11" spans="1:8" x14ac:dyDescent="0.25">
      <c r="A11" s="1">
        <v>46085</v>
      </c>
      <c r="B11" t="s">
        <v>12</v>
      </c>
      <c r="C11" t="s">
        <v>18</v>
      </c>
      <c r="D11" t="s">
        <v>26</v>
      </c>
      <c r="E11" t="s">
        <v>28</v>
      </c>
      <c r="F11" t="s">
        <v>14</v>
      </c>
      <c r="G11">
        <v>265000</v>
      </c>
      <c r="H11">
        <v>180000</v>
      </c>
    </row>
    <row r="12" spans="1:8" x14ac:dyDescent="0.25">
      <c r="A12" s="1">
        <v>46142</v>
      </c>
      <c r="B12" t="s">
        <v>12</v>
      </c>
      <c r="C12" t="s">
        <v>18</v>
      </c>
      <c r="D12" t="s">
        <v>26</v>
      </c>
      <c r="E12" t="s">
        <v>29</v>
      </c>
      <c r="F12" t="s">
        <v>14</v>
      </c>
      <c r="G12">
        <v>280000</v>
      </c>
      <c r="H12">
        <v>190000</v>
      </c>
    </row>
    <row r="13" spans="1:8" x14ac:dyDescent="0.25">
      <c r="A13" s="1">
        <v>46041</v>
      </c>
      <c r="B13" t="s">
        <v>8</v>
      </c>
      <c r="C13" t="s">
        <v>18</v>
      </c>
      <c r="D13" t="s">
        <v>30</v>
      </c>
      <c r="E13" t="s">
        <v>31</v>
      </c>
      <c r="F13" t="s">
        <v>11</v>
      </c>
      <c r="G13">
        <v>45000</v>
      </c>
      <c r="H13">
        <v>25000</v>
      </c>
    </row>
    <row r="14" spans="1:8" x14ac:dyDescent="0.25">
      <c r="A14" s="1">
        <v>46059</v>
      </c>
      <c r="B14" t="s">
        <v>12</v>
      </c>
      <c r="C14" t="s">
        <v>18</v>
      </c>
      <c r="D14" t="s">
        <v>32</v>
      </c>
      <c r="E14" t="s">
        <v>33</v>
      </c>
      <c r="F14" t="s">
        <v>14</v>
      </c>
      <c r="G14">
        <v>380000</v>
      </c>
      <c r="H14">
        <v>270000</v>
      </c>
    </row>
    <row r="15" spans="1:8" x14ac:dyDescent="0.25">
      <c r="A15" s="1">
        <v>46132</v>
      </c>
      <c r="B15" t="s">
        <v>17</v>
      </c>
      <c r="C15" t="s">
        <v>18</v>
      </c>
      <c r="D15" t="s">
        <v>32</v>
      </c>
      <c r="E15" t="s">
        <v>34</v>
      </c>
      <c r="F15" t="s">
        <v>20</v>
      </c>
      <c r="G15">
        <v>395000</v>
      </c>
      <c r="H15">
        <v>275000</v>
      </c>
    </row>
    <row r="16" spans="1:8" x14ac:dyDescent="0.25">
      <c r="A16" s="1">
        <v>46102</v>
      </c>
      <c r="B16" t="s">
        <v>17</v>
      </c>
      <c r="C16" t="s">
        <v>18</v>
      </c>
      <c r="D16" t="s">
        <v>30</v>
      </c>
      <c r="E16" t="s">
        <v>35</v>
      </c>
      <c r="F16" t="s">
        <v>20</v>
      </c>
      <c r="G16">
        <v>50000</v>
      </c>
      <c r="H16">
        <v>28000</v>
      </c>
    </row>
    <row r="17" spans="1:8" x14ac:dyDescent="0.25">
      <c r="A17" s="1">
        <v>46172</v>
      </c>
      <c r="B17" t="s">
        <v>12</v>
      </c>
      <c r="C17" t="s">
        <v>18</v>
      </c>
      <c r="D17" t="s">
        <v>32</v>
      </c>
      <c r="E17" t="s">
        <v>36</v>
      </c>
      <c r="F17" t="s">
        <v>14</v>
      </c>
      <c r="G17">
        <v>420000</v>
      </c>
      <c r="H17">
        <v>295000</v>
      </c>
    </row>
    <row r="18" spans="1:8" x14ac:dyDescent="0.25">
      <c r="A18" s="1">
        <v>46027</v>
      </c>
      <c r="B18" t="s">
        <v>17</v>
      </c>
      <c r="C18" t="s">
        <v>18</v>
      </c>
      <c r="D18" t="s">
        <v>37</v>
      </c>
      <c r="E18" t="s">
        <v>38</v>
      </c>
      <c r="F18" t="s">
        <v>20</v>
      </c>
      <c r="G18">
        <v>450000</v>
      </c>
      <c r="H18">
        <v>320000</v>
      </c>
    </row>
    <row r="19" spans="1:8" x14ac:dyDescent="0.25">
      <c r="A19" s="1">
        <v>46114</v>
      </c>
      <c r="B19" t="s">
        <v>12</v>
      </c>
      <c r="C19" t="s">
        <v>18</v>
      </c>
      <c r="D19" t="s">
        <v>37</v>
      </c>
      <c r="E19" t="s">
        <v>39</v>
      </c>
      <c r="F19" t="s">
        <v>14</v>
      </c>
      <c r="G19">
        <v>490000</v>
      </c>
      <c r="H19">
        <v>345000</v>
      </c>
    </row>
    <row r="20" spans="1:8" x14ac:dyDescent="0.25">
      <c r="A20" s="1">
        <v>46162</v>
      </c>
      <c r="B20" t="s">
        <v>17</v>
      </c>
      <c r="C20" t="s">
        <v>18</v>
      </c>
      <c r="D20" t="s">
        <v>37</v>
      </c>
      <c r="E20" t="s">
        <v>40</v>
      </c>
      <c r="F20" t="s">
        <v>20</v>
      </c>
      <c r="G20">
        <v>510000</v>
      </c>
      <c r="H20">
        <v>360000</v>
      </c>
    </row>
    <row r="21" spans="1:8" x14ac:dyDescent="0.25">
      <c r="A21" s="1">
        <v>46067</v>
      </c>
      <c r="B21" t="s">
        <v>8</v>
      </c>
      <c r="C21" t="s">
        <v>18</v>
      </c>
      <c r="D21" t="s">
        <v>37</v>
      </c>
      <c r="E21" t="s">
        <v>41</v>
      </c>
      <c r="F21" t="s">
        <v>11</v>
      </c>
      <c r="G21">
        <v>520000</v>
      </c>
      <c r="H21">
        <v>370000</v>
      </c>
    </row>
    <row r="22" spans="1:8" x14ac:dyDescent="0.25">
      <c r="A22" s="1">
        <v>46037</v>
      </c>
      <c r="B22" t="s">
        <v>17</v>
      </c>
      <c r="C22" t="s">
        <v>87</v>
      </c>
      <c r="D22" t="s">
        <v>42</v>
      </c>
      <c r="E22" t="s">
        <v>43</v>
      </c>
      <c r="F22" t="s">
        <v>20</v>
      </c>
      <c r="G22">
        <v>70000</v>
      </c>
      <c r="H22">
        <v>42000</v>
      </c>
    </row>
    <row r="23" spans="1:8" x14ac:dyDescent="0.25">
      <c r="A23" s="1">
        <v>46081</v>
      </c>
      <c r="B23" t="s">
        <v>8</v>
      </c>
      <c r="C23" t="s">
        <v>87</v>
      </c>
      <c r="D23" t="s">
        <v>42</v>
      </c>
      <c r="E23" t="s">
        <v>44</v>
      </c>
      <c r="F23" t="s">
        <v>11</v>
      </c>
      <c r="G23">
        <v>78000</v>
      </c>
      <c r="H23">
        <v>46000</v>
      </c>
    </row>
    <row r="24" spans="1:8" x14ac:dyDescent="0.25">
      <c r="A24" s="1">
        <v>46128</v>
      </c>
      <c r="B24" t="s">
        <v>12</v>
      </c>
      <c r="C24" t="s">
        <v>87</v>
      </c>
      <c r="D24" t="s">
        <v>42</v>
      </c>
      <c r="E24" t="s">
        <v>45</v>
      </c>
      <c r="F24" t="s">
        <v>14</v>
      </c>
      <c r="G24">
        <v>82000</v>
      </c>
      <c r="H24">
        <v>49000</v>
      </c>
    </row>
    <row r="25" spans="1:8" x14ac:dyDescent="0.25">
      <c r="A25" s="1">
        <v>46030</v>
      </c>
      <c r="B25" t="s">
        <v>8</v>
      </c>
      <c r="C25" t="s">
        <v>87</v>
      </c>
      <c r="D25" t="s">
        <v>46</v>
      </c>
      <c r="E25" t="s">
        <v>47</v>
      </c>
      <c r="F25" t="s">
        <v>11</v>
      </c>
      <c r="G25">
        <v>85000</v>
      </c>
      <c r="H25">
        <v>50000</v>
      </c>
    </row>
    <row r="26" spans="1:8" x14ac:dyDescent="0.25">
      <c r="A26" s="1">
        <v>46167</v>
      </c>
      <c r="B26" t="s">
        <v>8</v>
      </c>
      <c r="C26" t="s">
        <v>87</v>
      </c>
      <c r="D26" t="s">
        <v>46</v>
      </c>
      <c r="E26" t="s">
        <v>48</v>
      </c>
      <c r="F26" t="s">
        <v>11</v>
      </c>
      <c r="G26">
        <v>88000</v>
      </c>
      <c r="H26">
        <v>52000</v>
      </c>
    </row>
    <row r="27" spans="1:8" x14ac:dyDescent="0.25">
      <c r="A27" s="1">
        <v>46071</v>
      </c>
      <c r="B27" t="s">
        <v>12</v>
      </c>
      <c r="C27" t="s">
        <v>87</v>
      </c>
      <c r="D27" t="s">
        <v>46</v>
      </c>
      <c r="E27" t="s">
        <v>49</v>
      </c>
      <c r="F27" t="s">
        <v>14</v>
      </c>
      <c r="G27">
        <v>90000</v>
      </c>
      <c r="H27">
        <v>54000</v>
      </c>
    </row>
    <row r="28" spans="1:8" x14ac:dyDescent="0.25">
      <c r="A28" s="1">
        <v>46119</v>
      </c>
      <c r="B28" t="s">
        <v>17</v>
      </c>
      <c r="C28" t="s">
        <v>87</v>
      </c>
      <c r="D28" t="s">
        <v>46</v>
      </c>
      <c r="E28" t="s">
        <v>50</v>
      </c>
      <c r="F28" t="s">
        <v>20</v>
      </c>
      <c r="G28">
        <v>95000</v>
      </c>
      <c r="H28">
        <v>57000</v>
      </c>
    </row>
    <row r="29" spans="1:8" x14ac:dyDescent="0.25">
      <c r="A29" s="1">
        <v>46044</v>
      </c>
      <c r="B29" t="s">
        <v>12</v>
      </c>
      <c r="C29" t="s">
        <v>87</v>
      </c>
      <c r="D29" t="s">
        <v>51</v>
      </c>
      <c r="E29" t="s">
        <v>52</v>
      </c>
      <c r="F29" t="s">
        <v>14</v>
      </c>
      <c r="G29">
        <v>120000</v>
      </c>
      <c r="H29">
        <v>75000</v>
      </c>
    </row>
    <row r="30" spans="1:8" x14ac:dyDescent="0.25">
      <c r="A30" s="1">
        <v>46090</v>
      </c>
      <c r="B30" t="s">
        <v>17</v>
      </c>
      <c r="C30" t="s">
        <v>87</v>
      </c>
      <c r="D30" t="s">
        <v>51</v>
      </c>
      <c r="E30" t="s">
        <v>53</v>
      </c>
      <c r="F30" t="s">
        <v>20</v>
      </c>
      <c r="G30">
        <v>135000</v>
      </c>
      <c r="H30">
        <v>82000</v>
      </c>
    </row>
    <row r="31" spans="1:8" x14ac:dyDescent="0.25">
      <c r="A31" s="1">
        <v>46137</v>
      </c>
      <c r="B31" t="s">
        <v>8</v>
      </c>
      <c r="C31" t="s">
        <v>87</v>
      </c>
      <c r="D31" t="s">
        <v>51</v>
      </c>
      <c r="E31" t="s">
        <v>54</v>
      </c>
      <c r="F31" t="s">
        <v>11</v>
      </c>
      <c r="G31">
        <v>140000</v>
      </c>
      <c r="H31">
        <v>85000</v>
      </c>
    </row>
    <row r="32" spans="1:8" x14ac:dyDescent="0.25">
      <c r="A32" s="1">
        <v>46177</v>
      </c>
      <c r="B32" t="s">
        <v>17</v>
      </c>
      <c r="C32" t="s">
        <v>87</v>
      </c>
      <c r="D32" t="s">
        <v>51</v>
      </c>
      <c r="E32" t="s">
        <v>55</v>
      </c>
      <c r="F32" t="s">
        <v>20</v>
      </c>
      <c r="G32">
        <v>145000</v>
      </c>
      <c r="H32">
        <v>88000</v>
      </c>
    </row>
    <row r="33" spans="1:8" x14ac:dyDescent="0.25">
      <c r="A33" s="1">
        <v>46063</v>
      </c>
      <c r="B33" t="s">
        <v>17</v>
      </c>
      <c r="C33" t="s">
        <v>87</v>
      </c>
      <c r="D33" t="s">
        <v>9</v>
      </c>
      <c r="E33" t="s">
        <v>56</v>
      </c>
      <c r="F33" t="s">
        <v>20</v>
      </c>
      <c r="G33">
        <v>155000</v>
      </c>
      <c r="H33">
        <v>95000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2007-53BE-4A35-A53D-ED0889751093}">
  <dimension ref="A1:B15"/>
  <sheetViews>
    <sheetView workbookViewId="0">
      <selection activeCell="D12" sqref="D12"/>
    </sheetView>
  </sheetViews>
  <sheetFormatPr baseColWidth="10" defaultRowHeight="15" x14ac:dyDescent="0.25"/>
  <sheetData>
    <row r="1" spans="1:2" x14ac:dyDescent="0.25">
      <c r="A1" s="19" t="s">
        <v>6</v>
      </c>
      <c r="B1" s="20"/>
    </row>
    <row r="2" spans="1:2" x14ac:dyDescent="0.25">
      <c r="A2" s="2"/>
      <c r="B2" s="2"/>
    </row>
    <row r="3" spans="1:2" x14ac:dyDescent="0.25">
      <c r="A3" s="2" t="s">
        <v>57</v>
      </c>
      <c r="B3" s="2">
        <v>219227.27272727274</v>
      </c>
    </row>
    <row r="4" spans="1:2" x14ac:dyDescent="0.25">
      <c r="A4" s="2" t="s">
        <v>58</v>
      </c>
      <c r="B4" s="2">
        <v>36709.750277639781</v>
      </c>
    </row>
    <row r="5" spans="1:2" x14ac:dyDescent="0.25">
      <c r="A5" s="2" t="s">
        <v>59</v>
      </c>
      <c r="B5" s="2">
        <v>137500</v>
      </c>
    </row>
    <row r="6" spans="1:2" x14ac:dyDescent="0.25">
      <c r="A6" s="2" t="s">
        <v>60</v>
      </c>
      <c r="B6" s="2" t="e">
        <v>#N/A</v>
      </c>
    </row>
    <row r="7" spans="1:2" x14ac:dyDescent="0.25">
      <c r="A7" s="2" t="s">
        <v>61</v>
      </c>
      <c r="B7" s="2">
        <v>172183.99124142417</v>
      </c>
    </row>
    <row r="8" spans="1:2" x14ac:dyDescent="0.25">
      <c r="A8" s="2" t="s">
        <v>62</v>
      </c>
      <c r="B8" s="2">
        <v>29647326839.826839</v>
      </c>
    </row>
    <row r="9" spans="1:2" x14ac:dyDescent="0.25">
      <c r="A9" s="2" t="s">
        <v>63</v>
      </c>
      <c r="B9" s="2">
        <v>-1.2331667946846934</v>
      </c>
    </row>
    <row r="10" spans="1:2" x14ac:dyDescent="0.25">
      <c r="A10" s="2" t="s">
        <v>64</v>
      </c>
      <c r="B10" s="2">
        <v>0.7334842952109788</v>
      </c>
    </row>
    <row r="11" spans="1:2" x14ac:dyDescent="0.25">
      <c r="A11" s="2" t="s">
        <v>65</v>
      </c>
      <c r="B11" s="2">
        <v>475000</v>
      </c>
    </row>
    <row r="12" spans="1:2" x14ac:dyDescent="0.25">
      <c r="A12" s="2" t="s">
        <v>66</v>
      </c>
      <c r="B12" s="2">
        <v>45000</v>
      </c>
    </row>
    <row r="13" spans="1:2" x14ac:dyDescent="0.25">
      <c r="A13" s="2" t="s">
        <v>67</v>
      </c>
      <c r="B13" s="2">
        <v>520000</v>
      </c>
    </row>
    <row r="14" spans="1:2" x14ac:dyDescent="0.25">
      <c r="A14" s="2" t="s">
        <v>68</v>
      </c>
      <c r="B14" s="2">
        <v>4823000</v>
      </c>
    </row>
    <row r="15" spans="1:2" ht="15.75" thickBot="1" x14ac:dyDescent="0.3">
      <c r="A15" s="3" t="s">
        <v>69</v>
      </c>
      <c r="B15" s="3">
        <v>22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6F51-5AA7-4309-9946-E1F53C5850D9}">
  <dimension ref="A1:B5"/>
  <sheetViews>
    <sheetView workbookViewId="0">
      <selection activeCell="A3" sqref="A3"/>
    </sheetView>
  </sheetViews>
  <sheetFormatPr baseColWidth="10" defaultRowHeight="15" x14ac:dyDescent="0.25"/>
  <cols>
    <col min="1" max="1" width="17.7109375" customWidth="1"/>
  </cols>
  <sheetData>
    <row r="1" spans="1:2" x14ac:dyDescent="0.25">
      <c r="A1" s="18" t="s">
        <v>70</v>
      </c>
      <c r="B1" s="18" t="s">
        <v>71</v>
      </c>
    </row>
    <row r="2" spans="1:2" x14ac:dyDescent="0.25">
      <c r="A2" s="5" t="s">
        <v>72</v>
      </c>
      <c r="B2">
        <v>5000</v>
      </c>
    </row>
    <row r="3" spans="1:2" x14ac:dyDescent="0.25">
      <c r="A3" s="5" t="s">
        <v>73</v>
      </c>
      <c r="B3">
        <v>100</v>
      </c>
    </row>
    <row r="4" spans="1:2" x14ac:dyDescent="0.25">
      <c r="A4" s="5" t="s">
        <v>74</v>
      </c>
      <c r="B4" s="6">
        <v>0.6</v>
      </c>
    </row>
    <row r="5" spans="1:2" x14ac:dyDescent="0.25">
      <c r="A5" s="5" t="s">
        <v>75</v>
      </c>
      <c r="B5">
        <f>(B2*B3)*(1-B4)</f>
        <v>200000</v>
      </c>
    </row>
  </sheetData>
  <scenarios current="0" sqref="B5">
    <scenario name="Base" locked="1" count="2" user="Usuario" comment="Creado por Usuario el 31/8/2026">
      <inputCells r="B3" val="100"/>
      <inputCells r="B4" val="0,6" numFmtId="9"/>
    </scenario>
    <scenario name="Pesimista" locked="1" count="2" user="Usuario" comment="Creado por Usuario el 31/8/2026">
      <inputCells r="B3" val="85"/>
      <inputCells r="B4" val="0,7" numFmtId="9"/>
    </scenario>
    <scenario name="Optimista" locked="1" count="2" user="Usuario" comment="Creado por Usuario el 31/8/2026">
      <inputCells r="B3" val="120"/>
      <inputCells r="B4" val="0,5" numFmtId="9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A6C0-4781-4195-AC94-0FDC7F3456ED}">
  <sheetPr>
    <outlinePr summaryBelow="0"/>
  </sheetPr>
  <dimension ref="B1:G12"/>
  <sheetViews>
    <sheetView showGridLines="0" workbookViewId="0">
      <selection activeCell="D7" sqref="D7"/>
    </sheetView>
  </sheetViews>
  <sheetFormatPr baseColWidth="10" defaultRowHeight="15" outlineLevelRow="1" outlineLevelCol="1" x14ac:dyDescent="0.25"/>
  <cols>
    <col min="3" max="3" width="17" customWidth="1"/>
    <col min="4" max="7" width="14.5703125" bestFit="1" customWidth="1" outlineLevel="1"/>
  </cols>
  <sheetData>
    <row r="1" spans="2:7" ht="15.75" thickBot="1" x14ac:dyDescent="0.3"/>
    <row r="2" spans="2:7" ht="15.75" x14ac:dyDescent="0.25">
      <c r="B2" s="9" t="s">
        <v>80</v>
      </c>
      <c r="C2" s="9"/>
      <c r="D2" s="13"/>
      <c r="E2" s="13"/>
      <c r="F2" s="13"/>
      <c r="G2" s="13"/>
    </row>
    <row r="3" spans="2:7" ht="15.75" collapsed="1" x14ac:dyDescent="0.25">
      <c r="B3" s="8"/>
      <c r="C3" s="8"/>
      <c r="D3" s="14" t="s">
        <v>82</v>
      </c>
      <c r="E3" s="14" t="s">
        <v>76</v>
      </c>
      <c r="F3" s="14" t="s">
        <v>78</v>
      </c>
      <c r="G3" s="14" t="s">
        <v>79</v>
      </c>
    </row>
    <row r="4" spans="2:7" ht="22.5" hidden="1" outlineLevel="1" x14ac:dyDescent="0.25">
      <c r="B4" s="10"/>
      <c r="C4" s="10"/>
      <c r="D4" s="2"/>
      <c r="E4" s="17" t="s">
        <v>77</v>
      </c>
      <c r="F4" s="17" t="s">
        <v>77</v>
      </c>
      <c r="G4" s="17" t="s">
        <v>77</v>
      </c>
    </row>
    <row r="5" spans="2:7" x14ac:dyDescent="0.25">
      <c r="B5" s="11" t="s">
        <v>81</v>
      </c>
      <c r="C5" s="11"/>
      <c r="D5" s="4"/>
      <c r="E5" s="4"/>
      <c r="F5" s="4"/>
      <c r="G5" s="4"/>
    </row>
    <row r="6" spans="2:7" outlineLevel="1" x14ac:dyDescent="0.25">
      <c r="B6" s="10"/>
      <c r="C6" s="10" t="s">
        <v>73</v>
      </c>
      <c r="D6" s="2">
        <v>100</v>
      </c>
      <c r="E6" s="15">
        <v>100</v>
      </c>
      <c r="F6" s="15">
        <v>85</v>
      </c>
      <c r="G6" s="15">
        <v>120</v>
      </c>
    </row>
    <row r="7" spans="2:7" outlineLevel="1" x14ac:dyDescent="0.25">
      <c r="B7" s="10"/>
      <c r="C7" s="10" t="s">
        <v>74</v>
      </c>
      <c r="D7" s="7">
        <v>0.6</v>
      </c>
      <c r="E7" s="16">
        <v>0.6</v>
      </c>
      <c r="F7" s="16">
        <v>0.7</v>
      </c>
      <c r="G7" s="16">
        <v>0.5</v>
      </c>
    </row>
    <row r="8" spans="2:7" x14ac:dyDescent="0.25">
      <c r="B8" s="11" t="s">
        <v>83</v>
      </c>
      <c r="C8" s="11"/>
      <c r="D8" s="4"/>
      <c r="E8" s="4"/>
      <c r="F8" s="4"/>
      <c r="G8" s="4"/>
    </row>
    <row r="9" spans="2:7" ht="15.75" outlineLevel="1" thickBot="1" x14ac:dyDescent="0.3">
      <c r="B9" s="12"/>
      <c r="C9" s="12" t="s">
        <v>75</v>
      </c>
      <c r="D9" s="3">
        <v>200000</v>
      </c>
      <c r="E9" s="3">
        <v>200000</v>
      </c>
      <c r="F9" s="3">
        <v>127500</v>
      </c>
      <c r="G9" s="3">
        <v>300000</v>
      </c>
    </row>
    <row r="10" spans="2:7" x14ac:dyDescent="0.25">
      <c r="B10" t="s">
        <v>84</v>
      </c>
    </row>
    <row r="11" spans="2:7" x14ac:dyDescent="0.25">
      <c r="B11" t="s">
        <v>85</v>
      </c>
    </row>
    <row r="12" spans="2:7" x14ac:dyDescent="0.25">
      <c r="B12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DADC1E9-3503-4801-8001-300FBEDF9930}">
  <ds:schemaRefs/>
</ds:datastoreItem>
</file>

<file path=customXml/itemProps2.xml><?xml version="1.0" encoding="utf-8"?>
<ds:datastoreItem xmlns:ds="http://schemas.openxmlformats.org/officeDocument/2006/customXml" ds:itemID="{C2BC5A2D-EE2F-4137-946C-66CD3FED1DF0}">
  <ds:schemaRefs/>
</ds:datastoreItem>
</file>

<file path=customXml/itemProps3.xml><?xml version="1.0" encoding="utf-8"?>
<ds:datastoreItem xmlns:ds="http://schemas.openxmlformats.org/officeDocument/2006/customXml" ds:itemID="{5102E77E-28BC-49EE-960A-330046F8601B}">
  <ds:schemaRefs/>
</ds:datastoreItem>
</file>

<file path=customXml/itemProps4.xml><?xml version="1.0" encoding="utf-8"?>
<ds:datastoreItem xmlns:ds="http://schemas.openxmlformats.org/officeDocument/2006/customXml" ds:itemID="{D1E8B062-22EA-451B-BC25-39136DAF0549}">
  <ds:schemaRefs/>
</ds:datastoreItem>
</file>

<file path=customXml/itemProps5.xml><?xml version="1.0" encoding="utf-8"?>
<ds:datastoreItem xmlns:ds="http://schemas.openxmlformats.org/officeDocument/2006/customXml" ds:itemID="{7F251AA4-CA64-4A86-8E9B-2B658468A5BB}">
  <ds:schemaRefs/>
</ds:datastoreItem>
</file>

<file path=customXml/itemProps6.xml><?xml version="1.0" encoding="utf-8"?>
<ds:datastoreItem xmlns:ds="http://schemas.openxmlformats.org/officeDocument/2006/customXml" ds:itemID="{CCA813F5-6A3E-4713-9C60-BB2EC40CA26D}">
  <ds:schemaRefs/>
</ds:datastoreItem>
</file>

<file path=customXml/itemProps7.xml><?xml version="1.0" encoding="utf-8"?>
<ds:datastoreItem xmlns:ds="http://schemas.openxmlformats.org/officeDocument/2006/customXml" ds:itemID="{D1CA2DC9-1580-4E3C-82E6-72305F3D109D}">
  <ds:schemaRefs/>
</ds:datastoreItem>
</file>

<file path=customXml/itemProps8.xml><?xml version="1.0" encoding="utf-8"?>
<ds:datastoreItem xmlns:ds="http://schemas.openxmlformats.org/officeDocument/2006/customXml" ds:itemID="{90EDDE6B-8315-4541-91BC-EB72ECB1126C}">
  <ds:schemaRefs/>
</ds:datastoreItem>
</file>

<file path=customXml/itemProps9.xml><?xml version="1.0" encoding="utf-8"?>
<ds:datastoreItem xmlns:ds="http://schemas.openxmlformats.org/officeDocument/2006/customXml" ds:itemID="{77A2C98F-9F5B-4929-B0B4-EA256BBD3815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BE3F77FD-085C-4C16-A4E8-DC2EACA128A7}">
  <ds:schemaRefs/>
</ds:datastoreItem>
</file>

<file path=customXml/itemProps11.xml><?xml version="1.0" encoding="utf-8"?>
<ds:datastoreItem xmlns:ds="http://schemas.openxmlformats.org/officeDocument/2006/customXml" ds:itemID="{F6B49242-1712-465F-B8EF-0A4E41AA117E}">
  <ds:schemaRefs/>
</ds:datastoreItem>
</file>

<file path=customXml/itemProps12.xml><?xml version="1.0" encoding="utf-8"?>
<ds:datastoreItem xmlns:ds="http://schemas.openxmlformats.org/officeDocument/2006/customXml" ds:itemID="{E8470D18-55E9-47AC-B5EE-261A13EB692A}">
  <ds:schemaRefs/>
</ds:datastoreItem>
</file>

<file path=customXml/itemProps13.xml><?xml version="1.0" encoding="utf-8"?>
<ds:datastoreItem xmlns:ds="http://schemas.openxmlformats.org/officeDocument/2006/customXml" ds:itemID="{F274F9C2-1A0F-453E-90D2-A0245E0BDBEC}">
  <ds:schemaRefs/>
</ds:datastoreItem>
</file>

<file path=customXml/itemProps14.xml><?xml version="1.0" encoding="utf-8"?>
<ds:datastoreItem xmlns:ds="http://schemas.openxmlformats.org/officeDocument/2006/customXml" ds:itemID="{5449887C-0C7D-419A-8C6A-D2026F220767}">
  <ds:schemaRefs/>
</ds:datastoreItem>
</file>

<file path=customXml/itemProps15.xml><?xml version="1.0" encoding="utf-8"?>
<ds:datastoreItem xmlns:ds="http://schemas.openxmlformats.org/officeDocument/2006/customXml" ds:itemID="{E20C1B1F-F858-4299-94D1-323FCD4ABD84}">
  <ds:schemaRefs/>
</ds:datastoreItem>
</file>

<file path=customXml/itemProps16.xml><?xml version="1.0" encoding="utf-8"?>
<ds:datastoreItem xmlns:ds="http://schemas.openxmlformats.org/officeDocument/2006/customXml" ds:itemID="{8DF11E62-72F2-4933-8A39-E0BD60A53653}">
  <ds:schemaRefs/>
</ds:datastoreItem>
</file>

<file path=customXml/itemProps17.xml><?xml version="1.0" encoding="utf-8"?>
<ds:datastoreItem xmlns:ds="http://schemas.openxmlformats.org/officeDocument/2006/customXml" ds:itemID="{5151903B-4B48-4A9B-8DC8-974F6FA3C2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 Final</vt:lpstr>
      <vt:lpstr>Tablas_Dinamicas</vt:lpstr>
      <vt:lpstr>Datos_Crudos</vt:lpstr>
      <vt:lpstr>Estadistica_Descriptiva</vt:lpstr>
      <vt:lpstr>Resumen_Escenarios</vt:lpstr>
      <vt:lpstr>Resumen del 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Moroni</dc:creator>
  <cp:lastModifiedBy>Camilo Moroni</cp:lastModifiedBy>
  <dcterms:created xsi:type="dcterms:W3CDTF">2026-08-31T12:36:44Z</dcterms:created>
  <dcterms:modified xsi:type="dcterms:W3CDTF">2026-09-01T16:35:40Z</dcterms:modified>
</cp:coreProperties>
</file>